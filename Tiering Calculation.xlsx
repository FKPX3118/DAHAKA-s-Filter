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F2B8EE5C-2868-4BF1-A317-81684961A6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<sst xmlns="http://schemas.openxmlformats.org/spreadsheetml/2006/main" count="41" uniqueCount="38">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</sst>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2" fillId="2" borderId="0" xfId="0" applyNumberFormat="1" applyFont="1" applyFill="1"/>
    <xf numFmtId="177" fontId="2" fillId="2" borderId="0" xfId="0" applyNumberFormat="1" applyFont="1" applyFill="1" applyAlignment="1">
      <alignment horizontal="left"/>
    </xf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D8" sqref="D8"/>
    </sheetView>
  </sheetViews>
  <sheetFormatPr defaultColWidth="9.125" defaultRowHeight="15" x14ac:dyDescent="0.25"/>
  <cols>
    <col min="1" max="1" width="4.875" style="1" customWidth="1"/>
    <col min="2" max="2" width="19.375" style="1" bestFit="1" customWidth="1"/>
    <col min="3" max="4" width="14.75" style="1" bestFit="1" customWidth="1"/>
    <col min="5" max="5" width="7.875" style="1" bestFit="1" customWidth="1"/>
    <col min="6" max="6" width="38" style="1" bestFit="1" customWidth="1"/>
    <col min="7" max="7" width="14.75" style="1" bestFit="1" customWidth="1"/>
    <col min="8" max="8" width="37.375" style="1" bestFit="1" customWidth="1"/>
    <col min="9" max="9" width="31.875" style="2" bestFit="1" customWidth="1"/>
    <col min="10" max="10" width="17" style="1" bestFit="1" customWidth="1"/>
    <col min="11" max="16384" width="9.125" style="1"/>
  </cols>
  <sheetData>
    <row r="1" spans="1:11" ht="30" customHeight="1" thickBot="1" x14ac:dyDescent="0.5">
      <c r="A1" s="3"/>
      <c r="B1" s="3"/>
      <c r="C1" s="3"/>
      <c r="D1" s="3"/>
      <c r="E1" s="3"/>
      <c r="F1" s="3"/>
      <c r="G1" s="3"/>
      <c r="H1" s="3"/>
      <c r="I1" s="4"/>
      <c r="J1" s="3"/>
      <c r="K1" s="3"/>
    </row>
    <row r="2" spans="1:11" ht="30" customHeight="1" x14ac:dyDescent="0.45">
      <c r="A2" s="3"/>
      <c r="B2" s="5" t="s">
        <v>2</v>
      </c>
      <c r="C2" s="6">
        <f>D3</f>
        <v>51.84</v>
      </c>
      <c r="D2" s="7" t="s">
        <v>32</v>
      </c>
      <c r="E2" s="7" t="s">
        <v>29</v>
      </c>
      <c r="F2" s="8" t="s">
        <v>34</v>
      </c>
      <c r="G2" s="9">
        <f>C2/1</f>
        <v>51.84</v>
      </c>
      <c r="H2" s="5"/>
      <c r="I2" s="8" t="s">
        <v>9</v>
      </c>
      <c r="J2" s="10">
        <v>3</v>
      </c>
      <c r="K2" s="3"/>
    </row>
    <row r="3" spans="1:11" ht="30" customHeight="1" x14ac:dyDescent="0.45">
      <c r="A3" s="3"/>
      <c r="B3" s="5" t="s">
        <v>3</v>
      </c>
      <c r="C3" s="11">
        <f t="shared" ref="C3:C9" si="0">D4</f>
        <v>17.28</v>
      </c>
      <c r="D3" s="5">
        <f>D7*H10^4</f>
        <v>51.84</v>
      </c>
      <c r="E3" s="7" t="s">
        <v>22</v>
      </c>
      <c r="F3" s="8" t="s">
        <v>35</v>
      </c>
      <c r="G3" s="9">
        <f>G2^0.25</f>
        <v>2.6832815729997477</v>
      </c>
      <c r="H3" s="5" t="s">
        <v>19</v>
      </c>
      <c r="I3" s="8" t="s">
        <v>10</v>
      </c>
      <c r="J3" s="10">
        <v>9</v>
      </c>
      <c r="K3" s="3"/>
    </row>
    <row r="4" spans="1:11" ht="30" customHeight="1" thickBot="1" x14ac:dyDescent="0.5">
      <c r="A4" s="3"/>
      <c r="B4" s="5" t="s">
        <v>4</v>
      </c>
      <c r="C4" s="11">
        <f>D5</f>
        <v>5.76</v>
      </c>
      <c r="D4" s="5">
        <f>D7*H10^3</f>
        <v>17.28</v>
      </c>
      <c r="E4" s="7" t="s">
        <v>23</v>
      </c>
      <c r="F4" s="8" t="s">
        <v>36</v>
      </c>
      <c r="G4" s="9">
        <f>G2^(1/3)</f>
        <v>3.7286790071446307</v>
      </c>
      <c r="H4" s="5" t="s">
        <v>20</v>
      </c>
      <c r="I4" s="8" t="s">
        <v>13</v>
      </c>
      <c r="J4" s="9">
        <f>SQRT(J3)</f>
        <v>3</v>
      </c>
      <c r="K4" s="3"/>
    </row>
    <row r="5" spans="1:11" ht="30" customHeight="1" x14ac:dyDescent="0.45">
      <c r="A5" s="3"/>
      <c r="B5" s="5" t="s">
        <v>5</v>
      </c>
      <c r="C5" s="11">
        <f>D6</f>
        <v>1.92</v>
      </c>
      <c r="D5" s="5">
        <f>D7*H10^2</f>
        <v>5.76</v>
      </c>
      <c r="E5" s="7" t="s">
        <v>24</v>
      </c>
      <c r="F5" s="8" t="s">
        <v>37</v>
      </c>
      <c r="G5" s="9">
        <f>G2^0.2</f>
        <v>2.2025866295099124</v>
      </c>
      <c r="H5" s="5" t="s">
        <v>21</v>
      </c>
      <c r="I5" s="12" t="s">
        <v>11</v>
      </c>
      <c r="J5" s="13">
        <f>J2*(C6-C7)/(D6-D7)</f>
        <v>1</v>
      </c>
      <c r="K5" s="3"/>
    </row>
    <row r="6" spans="1:11" ht="30" customHeight="1" x14ac:dyDescent="0.45">
      <c r="A6" s="3"/>
      <c r="B6" s="5" t="s">
        <v>6</v>
      </c>
      <c r="C6" s="11">
        <f t="shared" si="0"/>
        <v>0.64</v>
      </c>
      <c r="D6" s="5">
        <f>D7*H10</f>
        <v>1.92</v>
      </c>
      <c r="E6" s="14" t="s">
        <v>31</v>
      </c>
      <c r="F6" s="8" t="s">
        <v>16</v>
      </c>
      <c r="G6" s="7" t="s">
        <v>33</v>
      </c>
      <c r="H6" s="5" t="s">
        <v>14</v>
      </c>
      <c r="I6" s="15" t="s">
        <v>12</v>
      </c>
      <c r="J6" s="16">
        <f>J3*(C6-C7)/(D5-D6)</f>
        <v>1</v>
      </c>
      <c r="K6" s="3"/>
    </row>
    <row r="7" spans="1:11" ht="30" customHeight="1" thickBot="1" x14ac:dyDescent="0.5">
      <c r="A7" s="3"/>
      <c r="B7" s="5" t="s">
        <v>7</v>
      </c>
      <c r="C7" s="11">
        <f t="shared" si="0"/>
        <v>0.21333333333333335</v>
      </c>
      <c r="D7" s="17">
        <v>0.64</v>
      </c>
      <c r="E7" s="7" t="s">
        <v>25</v>
      </c>
      <c r="F7" s="8" t="s">
        <v>17</v>
      </c>
      <c r="G7" s="7" t="s">
        <v>33</v>
      </c>
      <c r="H7" s="5" t="s">
        <v>15</v>
      </c>
      <c r="I7" s="18" t="s">
        <v>18</v>
      </c>
      <c r="J7" s="19">
        <f>ABS(J5-1)+ABS(J6-1)</f>
        <v>0</v>
      </c>
      <c r="K7" s="3"/>
    </row>
    <row r="8" spans="1:11" ht="30" customHeight="1" x14ac:dyDescent="0.45">
      <c r="A8" s="3"/>
      <c r="B8" s="5" t="s">
        <v>8</v>
      </c>
      <c r="C8" s="11">
        <f t="shared" si="0"/>
        <v>7.1111111111111111E-2</v>
      </c>
      <c r="D8" s="5">
        <f>D7/H10</f>
        <v>0.21333333333333335</v>
      </c>
      <c r="E8" s="7" t="s">
        <v>26</v>
      </c>
      <c r="F8" s="5">
        <f>J2-0.5</f>
        <v>2.5</v>
      </c>
      <c r="G8" s="7" t="s">
        <v>33</v>
      </c>
      <c r="H8" s="9">
        <f>J2+0.5</f>
        <v>3.5</v>
      </c>
      <c r="I8" s="5"/>
      <c r="J8" s="20"/>
      <c r="K8" s="3"/>
    </row>
    <row r="9" spans="1:11" ht="30" customHeight="1" thickBot="1" x14ac:dyDescent="0.5">
      <c r="A9" s="3"/>
      <c r="B9" s="5" t="s">
        <v>0</v>
      </c>
      <c r="C9" s="21">
        <f t="shared" si="0"/>
        <v>2.3703703703703703E-2</v>
      </c>
      <c r="D9" s="5">
        <f>D7/H10^2</f>
        <v>7.1111111111111111E-2</v>
      </c>
      <c r="E9" s="7" t="s">
        <v>27</v>
      </c>
      <c r="F9" s="5">
        <f>J4-0.5</f>
        <v>2.5</v>
      </c>
      <c r="G9" s="7" t="s">
        <v>33</v>
      </c>
      <c r="H9" s="9">
        <f>J4+0.5</f>
        <v>3.5</v>
      </c>
      <c r="I9" s="5"/>
      <c r="J9" s="20"/>
      <c r="K9" s="3"/>
    </row>
    <row r="10" spans="1:11" ht="30" customHeight="1" x14ac:dyDescent="0.45">
      <c r="A10" s="3"/>
      <c r="B10" s="5" t="s">
        <v>1</v>
      </c>
      <c r="C10" s="5">
        <v>0</v>
      </c>
      <c r="D10" s="5">
        <f>D7/H10^3</f>
        <v>2.3703703703703703E-2</v>
      </c>
      <c r="E10" s="7" t="s">
        <v>30</v>
      </c>
      <c r="F10" s="5"/>
      <c r="G10" s="8" t="s">
        <v>28</v>
      </c>
      <c r="H10" s="22">
        <v>3</v>
      </c>
      <c r="I10" s="5"/>
      <c r="J10" s="20"/>
      <c r="K10" s="3"/>
    </row>
    <row r="11" spans="1:11" ht="15" customHeight="1" x14ac:dyDescent="0.4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3"/>
    </row>
    <row r="12" spans="1:11" ht="15" customHeight="1" x14ac:dyDescent="0.45">
      <c r="A12" s="3"/>
      <c r="B12" s="3"/>
      <c r="C12" s="3"/>
      <c r="D12" s="3"/>
      <c r="E12" s="3"/>
      <c r="F12" s="3"/>
      <c r="G12" s="3"/>
      <c r="H12" s="3"/>
      <c r="I12" s="4"/>
      <c r="J12" s="3"/>
      <c r="K12" s="3"/>
    </row>
    <row r="13" spans="1:11" ht="15" customHeight="1" x14ac:dyDescent="0.45">
      <c r="A13" s="3"/>
      <c r="B13" s="3"/>
      <c r="C13" s="3"/>
      <c r="D13" s="3"/>
      <c r="E13" s="3"/>
      <c r="F13" s="3"/>
      <c r="G13" s="3"/>
      <c r="H13" s="3"/>
      <c r="I13" s="4"/>
      <c r="J13" s="3"/>
      <c r="K13" s="3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2026-03-16T05:35:00Z</dcterms:modified>
</cp:coreProperties>
</file>