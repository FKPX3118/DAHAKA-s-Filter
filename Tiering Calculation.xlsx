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DAHAKA-s-Filter\"/>
    </mc:Choice>
  </mc:AlternateContent>
  <xr:revisionPtr revIDLastSave="0" documentId="13_ncr:1_{7D090155-5F20-4E6C-8730-5F8624AE50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H8" i="1"/>
  <c r="F8" i="1"/>
  <c r="J4" i="1"/>
  <c r="H9" i="1" s="1"/>
  <c r="D3" i="1"/>
  <c r="C2" i="1" s="1"/>
  <c r="D8" i="1"/>
  <c r="C7" i="1" s="1"/>
  <c r="D10" i="1"/>
  <c r="C9" i="1" s="1"/>
  <c r="D9" i="1"/>
  <c r="C8" i="1" s="1"/>
  <c r="D4" i="1"/>
  <c r="C3" i="1" s="1"/>
  <c r="D5" i="1"/>
  <c r="C4" i="1" s="1"/>
  <c r="D6" i="1"/>
  <c r="C5" i="1" s="1"/>
  <c r="G2" i="1" l="1"/>
  <c r="G3" i="1" s="1"/>
  <c r="F9" i="1"/>
  <c r="J5" i="1"/>
  <c r="J6" i="1"/>
  <c r="G4" i="1" l="1"/>
  <c r="G5" i="1"/>
  <c r="J7" i="1"/>
</calcChain>
</file>

<file path=xl/sharedStrings.xml><?xml version="1.0" encoding="utf-8"?>
<sst xmlns="http://schemas.openxmlformats.org/spreadsheetml/2006/main" count="41" uniqueCount="38">
  <si>
    <t>Supplies 1</t>
    <phoneticPr fontId="1" type="noConversion"/>
  </si>
  <si>
    <t>Supplies 2</t>
  </si>
  <si>
    <t>S tier</t>
    <phoneticPr fontId="1" type="noConversion"/>
  </si>
  <si>
    <t>A tier</t>
  </si>
  <si>
    <t>B tier</t>
  </si>
  <si>
    <t>C tier</t>
  </si>
  <si>
    <t>D tier</t>
  </si>
  <si>
    <t>E+ tier</t>
  </si>
  <si>
    <t>E- tier</t>
  </si>
  <si>
    <t>small stack=</t>
    <phoneticPr fontId="1" type="noConversion"/>
  </si>
  <si>
    <t>large stack=</t>
    <phoneticPr fontId="1" type="noConversion"/>
  </si>
  <si>
    <t>small %=</t>
    <phoneticPr fontId="1" type="noConversion"/>
  </si>
  <si>
    <t>large %=</t>
    <phoneticPr fontId="1" type="noConversion"/>
  </si>
  <si>
    <t>sqrt(large stack)=</t>
    <phoneticPr fontId="1" type="noConversion"/>
  </si>
  <si>
    <t>small stack+0.5</t>
    <phoneticPr fontId="1" type="noConversion"/>
  </si>
  <si>
    <t>sqrt(large stack)+0.5</t>
    <phoneticPr fontId="1" type="noConversion"/>
  </si>
  <si>
    <t>small stack-0.5</t>
    <phoneticPr fontId="1" type="noConversion"/>
  </si>
  <si>
    <t>sqrt(large stack)-0.5</t>
    <phoneticPr fontId="1" type="noConversion"/>
  </si>
  <si>
    <t>delta=</t>
    <phoneticPr fontId="1" type="noConversion"/>
  </si>
  <si>
    <t>D tier chaos</t>
    <phoneticPr fontId="1" type="noConversion"/>
  </si>
  <si>
    <t>C tier chaos</t>
    <phoneticPr fontId="1" type="noConversion"/>
  </si>
  <si>
    <t>E+ tier chaos</t>
    <phoneticPr fontId="1" type="noConversion"/>
  </si>
  <si>
    <t>r³</t>
  </si>
  <si>
    <t>r²</t>
  </si>
  <si>
    <t>r</t>
  </si>
  <si>
    <t>1/r</t>
  </si>
  <si>
    <t>1/r²</t>
  </si>
  <si>
    <t>1/r³</t>
  </si>
  <si>
    <t>r=</t>
    <phoneticPr fontId="1" type="noConversion"/>
  </si>
  <si>
    <r>
      <t>r</t>
    </r>
    <r>
      <rPr>
        <vertAlign val="superscript"/>
        <sz val="24"/>
        <color theme="0" tint="-0.14999847407452621"/>
        <rFont val="Times New Roman"/>
        <family val="1"/>
      </rPr>
      <t>4</t>
    </r>
    <phoneticPr fontId="1" type="noConversion"/>
  </si>
  <si>
    <r>
      <t>1/r</t>
    </r>
    <r>
      <rPr>
        <vertAlign val="superscript"/>
        <sz val="24"/>
        <color theme="0" tint="-0.14999847407452621"/>
        <rFont val="Times New Roman"/>
        <family val="1"/>
      </rPr>
      <t>4</t>
    </r>
    <phoneticPr fontId="1" type="noConversion"/>
  </si>
  <si>
    <t>1</t>
    <phoneticPr fontId="1" type="noConversion"/>
  </si>
  <si>
    <r>
      <rPr>
        <sz val="24"/>
        <color theme="0" tint="-0.14999847407452621"/>
        <rFont val="宋体"/>
        <family val="3"/>
        <charset val="134"/>
      </rPr>
      <t>∞</t>
    </r>
    <phoneticPr fontId="1" type="noConversion"/>
  </si>
  <si>
    <r>
      <rPr>
        <sz val="24"/>
        <color theme="0" tint="-0.14999847407452621"/>
        <rFont val="宋体"/>
        <family val="3"/>
        <charset val="134"/>
      </rPr>
      <t>≤</t>
    </r>
    <r>
      <rPr>
        <sz val="24"/>
        <color theme="0" tint="-0.14999847407452621"/>
        <rFont val="Times New Roman"/>
        <family val="1"/>
      </rPr>
      <t>r</t>
    </r>
    <r>
      <rPr>
        <sz val="24"/>
        <color theme="0" tint="-0.14999847407452621"/>
        <rFont val="宋体"/>
        <family val="3"/>
        <charset val="134"/>
      </rPr>
      <t>≤</t>
    </r>
    <phoneticPr fontId="1" type="noConversion"/>
  </si>
  <si>
    <t>S tier/chaos &gt;=</t>
  </si>
  <si>
    <t>(S tier/chaos)^0.25=</t>
  </si>
  <si>
    <t>(S tier/chaos)^(1/3)=</t>
  </si>
  <si>
    <t>(S tier/chaos)^0.2=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</si>
</sst>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24"/>
      <color theme="1"/>
      <name val="Times New Roman"/>
      <family val="1"/>
    </font>
    <font>
      <sz val="24"/>
      <color theme="0" tint="-0.14999847407452621"/>
      <name val="Times New Roman"/>
      <family val="1"/>
    </font>
    <font>
      <vertAlign val="superscript"/>
      <sz val="24"/>
      <color theme="0" tint="-0.14999847407452621"/>
      <name val="Times New Roman"/>
      <family val="1"/>
    </font>
    <font>
      <sz val="24"/>
      <color rgb="FF0DB374"/>
      <name val="Times New Roman"/>
      <family val="1"/>
    </font>
    <font>
      <sz val="24"/>
      <color theme="0" tint="-0.1499984740745262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42534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176" fontId="3" fillId="2" borderId="0" xfId="0" applyNumberFormat="1" applyFont="1" applyFill="1"/>
    <xf numFmtId="177" fontId="3" fillId="2" borderId="0" xfId="0" applyNumberFormat="1" applyFont="1" applyFill="1" applyAlignment="1">
      <alignment horizontal="left"/>
    </xf>
    <xf numFmtId="176" fontId="2" fillId="2" borderId="0" xfId="0" applyNumberFormat="1" applyFont="1" applyFill="1"/>
    <xf numFmtId="176" fontId="4" fillId="2" borderId="0" xfId="0" applyNumberFormat="1" applyFont="1" applyFill="1"/>
    <xf numFmtId="176" fontId="4" fillId="2" borderId="1" xfId="0" applyNumberFormat="1" applyFont="1" applyFill="1" applyBorder="1"/>
    <xf numFmtId="176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right"/>
    </xf>
    <xf numFmtId="176" fontId="4" fillId="2" borderId="0" xfId="0" applyNumberFormat="1" applyFont="1" applyFill="1" applyAlignment="1">
      <alignment horizontal="left"/>
    </xf>
    <xf numFmtId="177" fontId="6" fillId="2" borderId="0" xfId="0" applyNumberFormat="1" applyFont="1" applyFill="1" applyAlignment="1">
      <alignment horizontal="left"/>
    </xf>
    <xf numFmtId="176" fontId="4" fillId="2" borderId="2" xfId="0" applyNumberFormat="1" applyFont="1" applyFill="1" applyBorder="1"/>
    <xf numFmtId="176" fontId="4" fillId="2" borderId="4" xfId="0" applyNumberFormat="1" applyFont="1" applyFill="1" applyBorder="1" applyAlignment="1">
      <alignment horizontal="right"/>
    </xf>
    <xf numFmtId="10" fontId="4" fillId="2" borderId="5" xfId="0" applyNumberFormat="1" applyFont="1" applyFill="1" applyBorder="1" applyAlignment="1">
      <alignment horizontal="left"/>
    </xf>
    <xf numFmtId="49" fontId="4" fillId="2" borderId="0" xfId="0" applyNumberFormat="1" applyFont="1" applyFill="1" applyAlignment="1">
      <alignment horizontal="center"/>
    </xf>
    <xf numFmtId="176" fontId="4" fillId="2" borderId="6" xfId="0" applyNumberFormat="1" applyFont="1" applyFill="1" applyBorder="1" applyAlignment="1">
      <alignment horizontal="right"/>
    </xf>
    <xf numFmtId="10" fontId="4" fillId="2" borderId="7" xfId="0" applyNumberFormat="1" applyFont="1" applyFill="1" applyBorder="1" applyAlignment="1">
      <alignment horizontal="left"/>
    </xf>
    <xf numFmtId="176" fontId="6" fillId="2" borderId="0" xfId="0" applyNumberFormat="1" applyFont="1" applyFill="1"/>
    <xf numFmtId="176" fontId="4" fillId="2" borderId="8" xfId="0" applyNumberFormat="1" applyFont="1" applyFill="1" applyBorder="1" applyAlignment="1">
      <alignment horizontal="right"/>
    </xf>
    <xf numFmtId="10" fontId="4" fillId="2" borderId="9" xfId="0" applyNumberFormat="1" applyFont="1" applyFill="1" applyBorder="1" applyAlignment="1">
      <alignment horizontal="left"/>
    </xf>
    <xf numFmtId="177" fontId="4" fillId="2" borderId="0" xfId="0" applyNumberFormat="1" applyFont="1" applyFill="1" applyAlignment="1">
      <alignment horizontal="left"/>
    </xf>
    <xf numFmtId="176" fontId="4" fillId="2" borderId="3" xfId="0" applyNumberFormat="1" applyFont="1" applyFill="1" applyBorder="1"/>
    <xf numFmtId="176" fontId="6" fillId="2" borderId="0" xfId="0" applyNumberFormat="1" applyFont="1" applyFill="1" applyAlignment="1">
      <alignment horizontal="left"/>
    </xf>
    <xf numFmtId="176" fontId="3" fillId="2" borderId="0" xfId="0" applyNumberFormat="1" applyFont="1" applyFill="1" applyAlignment="1">
      <alignment wrapText="1"/>
    </xf>
    <xf numFmtId="177" fontId="2" fillId="2" borderId="0" xfId="0" applyNumberFormat="1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42534"/>
      <color rgb="FF202038"/>
      <color rgb="FF121520"/>
      <color rgb="FF0DB374"/>
      <color rgb="FF0D11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"/>
  <sheetViews>
    <sheetView tabSelected="1" zoomScaleNormal="100" workbookViewId="0">
      <selection activeCell="F21" sqref="F21"/>
    </sheetView>
  </sheetViews>
  <sheetFormatPr defaultColWidth="9.125" defaultRowHeight="15" x14ac:dyDescent="0.25"/>
  <cols>
    <col min="1" max="1" width="4.875" style="3" customWidth="1"/>
    <col min="2" max="2" width="19.375" style="3" bestFit="1" customWidth="1"/>
    <col min="3" max="4" width="14.75" style="3" bestFit="1" customWidth="1"/>
    <col min="5" max="5" width="7.875" style="3" bestFit="1" customWidth="1"/>
    <col min="6" max="6" width="38" style="3" bestFit="1" customWidth="1"/>
    <col min="7" max="7" width="14.75" style="3" bestFit="1" customWidth="1"/>
    <col min="8" max="8" width="37.375" style="3" bestFit="1" customWidth="1"/>
    <col min="9" max="9" width="31.875" style="23" bestFit="1" customWidth="1"/>
    <col min="10" max="10" width="17" style="3" bestFit="1" customWidth="1"/>
    <col min="11" max="16384" width="9.125" style="3"/>
  </cols>
  <sheetData>
    <row r="1" spans="1:11" ht="30" customHeight="1" thickBot="1" x14ac:dyDescent="0.5">
      <c r="A1" s="1"/>
      <c r="B1" s="1"/>
      <c r="C1" s="1"/>
      <c r="D1" s="1"/>
      <c r="E1" s="1"/>
      <c r="F1" s="1"/>
      <c r="G1" s="1"/>
      <c r="H1" s="1"/>
      <c r="I1" s="2"/>
      <c r="J1" s="1"/>
      <c r="K1" s="1"/>
    </row>
    <row r="2" spans="1:11" ht="30" customHeight="1" x14ac:dyDescent="0.45">
      <c r="A2" s="1"/>
      <c r="B2" s="4" t="s">
        <v>2</v>
      </c>
      <c r="C2" s="5">
        <f>D3</f>
        <v>240.57000000000002</v>
      </c>
      <c r="D2" s="6" t="s">
        <v>32</v>
      </c>
      <c r="E2" s="6" t="s">
        <v>29</v>
      </c>
      <c r="F2" s="7" t="s">
        <v>34</v>
      </c>
      <c r="G2" s="8">
        <f>C2/1</f>
        <v>240.57000000000002</v>
      </c>
      <c r="H2" s="4"/>
      <c r="I2" s="7" t="s">
        <v>9</v>
      </c>
      <c r="J2" s="9">
        <v>3</v>
      </c>
      <c r="K2" s="1"/>
    </row>
    <row r="3" spans="1:11" ht="30" customHeight="1" x14ac:dyDescent="0.45">
      <c r="A3" s="1"/>
      <c r="B3" s="4" t="s">
        <v>3</v>
      </c>
      <c r="C3" s="10">
        <f t="shared" ref="C3:C9" si="0">D4</f>
        <v>80.190000000000012</v>
      </c>
      <c r="D3" s="4">
        <f>D7*H10^4</f>
        <v>240.57000000000002</v>
      </c>
      <c r="E3" s="6" t="s">
        <v>22</v>
      </c>
      <c r="F3" s="7" t="s">
        <v>35</v>
      </c>
      <c r="G3" s="8">
        <f>G2^0.25</f>
        <v>3.9383142517646657</v>
      </c>
      <c r="H3" s="4" t="s">
        <v>19</v>
      </c>
      <c r="I3" s="7" t="s">
        <v>10</v>
      </c>
      <c r="J3" s="9">
        <v>9</v>
      </c>
      <c r="K3" s="1"/>
    </row>
    <row r="4" spans="1:11" ht="30" customHeight="1" thickBot="1" x14ac:dyDescent="0.5">
      <c r="A4" s="1"/>
      <c r="B4" s="4" t="s">
        <v>4</v>
      </c>
      <c r="C4" s="10">
        <f>D5</f>
        <v>26.73</v>
      </c>
      <c r="D4" s="4">
        <f>D7*H10^3</f>
        <v>80.190000000000012</v>
      </c>
      <c r="E4" s="6" t="s">
        <v>23</v>
      </c>
      <c r="F4" s="7" t="s">
        <v>36</v>
      </c>
      <c r="G4" s="8">
        <f>G2^(1/3)</f>
        <v>6.2193809070100663</v>
      </c>
      <c r="H4" s="4" t="s">
        <v>20</v>
      </c>
      <c r="I4" s="7" t="s">
        <v>13</v>
      </c>
      <c r="J4" s="8">
        <f>SQRT(J3)</f>
        <v>3</v>
      </c>
      <c r="K4" s="1"/>
    </row>
    <row r="5" spans="1:11" ht="30" customHeight="1" x14ac:dyDescent="0.45">
      <c r="A5" s="1"/>
      <c r="B5" s="4" t="s">
        <v>5</v>
      </c>
      <c r="C5" s="10">
        <f>D6</f>
        <v>8.91</v>
      </c>
      <c r="D5" s="4">
        <f>D7*H10^2</f>
        <v>26.73</v>
      </c>
      <c r="E5" s="6" t="s">
        <v>24</v>
      </c>
      <c r="F5" s="7" t="s">
        <v>37</v>
      </c>
      <c r="G5" s="8">
        <f>G2^0.2</f>
        <v>2.9939758549842774</v>
      </c>
      <c r="H5" s="4" t="s">
        <v>21</v>
      </c>
      <c r="I5" s="11" t="s">
        <v>11</v>
      </c>
      <c r="J5" s="12">
        <f>J2*(C6-C7)/(D6-D7)</f>
        <v>1</v>
      </c>
      <c r="K5" s="1"/>
    </row>
    <row r="6" spans="1:11" ht="30" customHeight="1" x14ac:dyDescent="0.45">
      <c r="A6" s="1"/>
      <c r="B6" s="4" t="s">
        <v>6</v>
      </c>
      <c r="C6" s="10">
        <f>D7</f>
        <v>2.97</v>
      </c>
      <c r="D6" s="4">
        <f>D7*H10</f>
        <v>8.91</v>
      </c>
      <c r="E6" s="13" t="s">
        <v>31</v>
      </c>
      <c r="F6" s="7" t="s">
        <v>16</v>
      </c>
      <c r="G6" s="6" t="s">
        <v>33</v>
      </c>
      <c r="H6" s="4" t="s">
        <v>14</v>
      </c>
      <c r="I6" s="14" t="s">
        <v>12</v>
      </c>
      <c r="J6" s="15">
        <f>J3*(C6-C7)/(D5-D6)</f>
        <v>1</v>
      </c>
      <c r="K6" s="1"/>
    </row>
    <row r="7" spans="1:11" ht="30" customHeight="1" thickBot="1" x14ac:dyDescent="0.5">
      <c r="A7" s="1"/>
      <c r="B7" s="4" t="s">
        <v>7</v>
      </c>
      <c r="C7" s="10">
        <f t="shared" si="0"/>
        <v>0.9900000000000001</v>
      </c>
      <c r="D7" s="16">
        <v>2.97</v>
      </c>
      <c r="E7" s="6" t="s">
        <v>25</v>
      </c>
      <c r="F7" s="7" t="s">
        <v>17</v>
      </c>
      <c r="G7" s="6" t="s">
        <v>33</v>
      </c>
      <c r="H7" s="4" t="s">
        <v>15</v>
      </c>
      <c r="I7" s="17" t="s">
        <v>18</v>
      </c>
      <c r="J7" s="18">
        <f>ABS(J5-1)+ABS(J6-1)</f>
        <v>0</v>
      </c>
      <c r="K7" s="1"/>
    </row>
    <row r="8" spans="1:11" ht="30" customHeight="1" x14ac:dyDescent="0.45">
      <c r="A8" s="1"/>
      <c r="B8" s="4" t="s">
        <v>8</v>
      </c>
      <c r="C8" s="10">
        <f t="shared" si="0"/>
        <v>0.33</v>
      </c>
      <c r="D8" s="4">
        <f>D7/H10</f>
        <v>0.9900000000000001</v>
      </c>
      <c r="E8" s="6" t="s">
        <v>26</v>
      </c>
      <c r="F8" s="4">
        <f>J2-0.5</f>
        <v>2.5</v>
      </c>
      <c r="G8" s="6" t="s">
        <v>33</v>
      </c>
      <c r="H8" s="8">
        <f>J2+0.5</f>
        <v>3.5</v>
      </c>
      <c r="I8" s="4"/>
      <c r="J8" s="19"/>
      <c r="K8" s="1"/>
    </row>
    <row r="9" spans="1:11" ht="30" customHeight="1" thickBot="1" x14ac:dyDescent="0.5">
      <c r="A9" s="1"/>
      <c r="B9" s="4" t="s">
        <v>0</v>
      </c>
      <c r="C9" s="20">
        <f t="shared" si="0"/>
        <v>0.11</v>
      </c>
      <c r="D9" s="4">
        <f>D7/H10^2</f>
        <v>0.33</v>
      </c>
      <c r="E9" s="6" t="s">
        <v>27</v>
      </c>
      <c r="F9" s="4">
        <f>J4-0.5</f>
        <v>2.5</v>
      </c>
      <c r="G9" s="6" t="s">
        <v>33</v>
      </c>
      <c r="H9" s="8">
        <f>J4+0.5</f>
        <v>3.5</v>
      </c>
      <c r="I9" s="4"/>
      <c r="J9" s="19"/>
      <c r="K9" s="1"/>
    </row>
    <row r="10" spans="1:11" ht="30" customHeight="1" x14ac:dyDescent="0.45">
      <c r="A10" s="1"/>
      <c r="B10" s="4" t="s">
        <v>1</v>
      </c>
      <c r="C10" s="4">
        <v>0</v>
      </c>
      <c r="D10" s="4">
        <f>D7/H10^3</f>
        <v>0.11</v>
      </c>
      <c r="E10" s="6" t="s">
        <v>30</v>
      </c>
      <c r="F10" s="4"/>
      <c r="G10" s="7" t="s">
        <v>28</v>
      </c>
      <c r="H10" s="21">
        <v>3</v>
      </c>
      <c r="I10" s="4"/>
      <c r="J10" s="19"/>
      <c r="K10" s="1"/>
    </row>
    <row r="11" spans="1:11" ht="15" customHeight="1" x14ac:dyDescent="0.4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1"/>
    </row>
    <row r="12" spans="1:11" ht="15" customHeight="1" x14ac:dyDescent="0.45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</row>
    <row r="13" spans="1:11" ht="15" customHeight="1" x14ac:dyDescent="0.45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</row>
    <row r="14" spans="1:11" ht="15" customHeight="1" x14ac:dyDescent="0.25"/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 DAHAKA</dc:creator>
  <cp:lastModifiedBy>BOT DAHAKA</cp:lastModifiedBy>
  <dcterms:created xsi:type="dcterms:W3CDTF">2015-06-05T18:17:20Z</dcterms:created>
  <dcterms:modified xsi:type="dcterms:W3CDTF">2026-09-02T08:02:58Z</dcterms:modified>
</cp:coreProperties>
</file>